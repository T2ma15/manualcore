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false" localSheetId="0" name="_xlnm.Print_Titles" vbProcedure="false">BOM!$1:$6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<sst xmlns="http://schemas.openxmlformats.org/spreadsheetml/2006/main" count="85" uniqueCount="63">
  <si>
    <t xml:space="preserve">[COMPANY NAME]</t>
  </si>
  <si>
    <t xml:space="preserve">BILL OF MATERIALS — SEGMENTED BY OPERATION</t>
  </si>
  <si>
    <t xml:space="preserve">DOC NO.</t>
  </si>
  <si>
    <t xml:space="preserve">PRODUCT / ASSEMBLY</t>
  </si>
  <si>
    <t xml:space="preserve">PART NUMBER</t>
  </si>
  <si>
    <t xml:space="preserve">REVISION</t>
  </si>
  <si>
    <t xml:space="preserve">EFF. DATE</t>
  </si>
  <si>
    <t xml:space="preserve">BOM-A01-001</t>
  </si>
  <si>
    <t xml:space="preserve">Cover Assembly Model X-200</t>
  </si>
  <si>
    <t xml:space="preserve">ASM-X200-001</t>
  </si>
  <si>
    <t xml:space="preserve">Rev. 00</t>
  </si>
  <si>
    <t xml:space="preserve">[DD-MMM-YYYY]</t>
  </si>
  <si>
    <t xml:space="preserve">PROCESS OWNER:  [Name / Position]</t>
  </si>
  <si>
    <t xml:space="preserve">APPROVER:  [Name / Position]</t>
  </si>
  <si>
    <t xml:space="preserve">QA SIGN-OFF:  [Name / N/A]</t>
  </si>
  <si>
    <t xml:space="preserve">REVIEW DUE:  [DD-MMM-YYYY]</t>
  </si>
  <si>
    <t xml:space="preserve">ITEM</t>
  </si>
  <si>
    <t xml:space="preserve">OP ID</t>
  </si>
  <si>
    <t xml:space="preserve">OPERATION NAME</t>
  </si>
  <si>
    <t xml:space="preserve">MATERIAL NAME</t>
  </si>
  <si>
    <t xml:space="preserve">SKU / PART NO.</t>
  </si>
  <si>
    <t xml:space="preserve">QTY / OP</t>
  </si>
  <si>
    <t xml:space="preserve">UNIT</t>
  </si>
  <si>
    <t xml:space="preserve">REPETITIONS</t>
  </si>
  <si>
    <t xml:space="preserve">TOTAL QTY</t>
  </si>
  <si>
    <t xml:space="preserve">NOTES</t>
  </si>
  <si>
    <t xml:space="preserve">A-01</t>
  </si>
  <si>
    <t xml:space="preserve">Inspection and preparation</t>
  </si>
  <si>
    <t xml:space="preserve">← Operation segment</t>
  </si>
  <si>
    <t xml:space="preserve">Urea Cover Black</t>
  </si>
  <si>
    <t xml:space="preserve">SKU-1234</t>
  </si>
  <si>
    <t xml:space="preserve">ea</t>
  </si>
  <si>
    <t xml:space="preserve">Inspect nubs before use</t>
  </si>
  <si>
    <t xml:space="preserve">Feeler Gauge Set</t>
  </si>
  <si>
    <t xml:space="preserve">GAU-008</t>
  </si>
  <si>
    <t xml:space="preserve">set</t>
  </si>
  <si>
    <t xml:space="preserve">Tool — not consumed</t>
  </si>
  <si>
    <t xml:space="preserve">SUBTOTAL — A-01 Inspection and preparation</t>
  </si>
  <si>
    <t xml:space="preserve">← Op subtotal</t>
  </si>
  <si>
    <t xml:space="preserve">A-02</t>
  </si>
  <si>
    <t xml:space="preserve">Fixture seating and riveting</t>
  </si>
  <si>
    <t xml:space="preserve">Rivet #4 Gold</t>
  </si>
  <si>
    <t xml:space="preserve">SKU-5678</t>
  </si>
  <si>
    <t xml:space="preserve">4 per cover — verify sequence</t>
  </si>
  <si>
    <t xml:space="preserve">Assembly Fixture</t>
  </si>
  <si>
    <t xml:space="preserve">EQ-003-F</t>
  </si>
  <si>
    <t xml:space="preserve">SUBTOTAL — A-02 Fixture seating and riveting</t>
  </si>
  <si>
    <t xml:space="preserve">A-03</t>
  </si>
  <si>
    <t xml:space="preserve">Quality verification</t>
  </si>
  <si>
    <t xml:space="preserve">Depth Gauge</t>
  </si>
  <si>
    <t xml:space="preserve">GAU-012</t>
  </si>
  <si>
    <t xml:space="preserve">Inspection Label</t>
  </si>
  <si>
    <t xml:space="preserve">LBL-001</t>
  </si>
  <si>
    <t xml:space="preserve">Applied after pass</t>
  </si>
  <si>
    <t xml:space="preserve">SUBTOTAL — A-03 Quality verification</t>
  </si>
  <si>
    <t xml:space="preserve">GRAND TOTAL</t>
  </si>
  <si>
    <t xml:space="preserve">← Total all operations</t>
  </si>
  <si>
    <t xml:space="preserve">LEGEND:</t>
  </si>
  <si>
    <t xml:space="preserve">QTY/OP = quantity consumed per single execution of this operation</t>
  </si>
  <si>
    <t xml:space="preserve">REPETITIONS = how many times this operation runs per product unit</t>
  </si>
  <si>
    <t xml:space="preserve">TOTAL QTY = QTY/OP × REPETITIONS (calculated automatically)</t>
  </si>
  <si>
    <t xml:space="preserve">Tools marked 'not consumed' carry qty 1 for tracking — exclude from cost rollup as needed</t>
  </si>
  <si>
    <t xml:space="preserve">DRAFT — PENDING APPROVAL — NOT FOR PRODUCTION 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</si>
</sst>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A8D8EA"/>
      <name val="Arial"/>
      <family val="0"/>
      <charset val="1"/>
    </font>
    <font>
      <b val="true"/>
      <sz val="9"/>
      <color rgb="FF5D6D7E"/>
      <name val="Arial"/>
      <family val="0"/>
      <charset val="1"/>
    </font>
    <font>
      <b val="true"/>
      <sz val="10"/>
      <color rgb="FF0D1F3C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A8D8EA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sz val="10"/>
      <color rgb="FF5D6D7E"/>
      <name val="Arial"/>
      <family val="0"/>
      <charset val="1"/>
    </font>
    <font>
      <sz val="10"/>
      <color rgb="FF0D0D0D"/>
      <name val="Arial"/>
      <family val="0"/>
      <charset val="1"/>
    </font>
    <font>
      <i val="true"/>
      <sz val="10"/>
      <color rgb="FF2E4057"/>
      <name val="Arial"/>
      <family val="0"/>
      <charset val="1"/>
    </font>
    <font>
      <b val="true"/>
      <sz val="10"/>
      <color rgb="FF0D0D0D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F3C"/>
        <bgColor rgb="FF0D0D0D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rgb="FF1ABC9C"/>
        <bgColor rgb="FF339966"/>
      </patternFill>
    </fill>
    <fill>
      <patternFill patternType="solid">
        <fgColor rgb="FF1B4F72"/>
        <bgColor rgb="FF2E4057"/>
      </patternFill>
    </fill>
    <fill>
      <patternFill patternType="solid">
        <fgColor rgb="FFD6EAF8"/>
        <bgColor rgb="FFD5D8DC"/>
      </patternFill>
    </fill>
    <fill>
      <patternFill patternType="solid">
        <fgColor rgb="FFF39C12"/>
        <bgColor rgb="FFFFCC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/>
      <bottom/>
      <diagonal/>
    </border>
    <border diagonalUp="false" diagonalDown="false">
      <left style="thick">
        <color rgb="FF0D1F3C"/>
      </left>
      <right/>
      <top/>
      <bottom/>
      <diagonal/>
    </border>
    <border diagonalUp="false" diagonalDown="false">
      <left style="medium">
        <color rgb="FF1ABC9C"/>
      </left>
      <right/>
      <top/>
      <bottom style="medium">
        <color rgb="FF1ABC9C"/>
      </bottom>
      <diagonal/>
    </border>
    <border diagonalUp="false" diagonalDown="false">
      <left style="thin">
        <color rgb="FFD5D8DC"/>
      </left>
      <right style="thin">
        <color rgb="FFD5D8DC"/>
      </right>
      <top/>
      <bottom style="medium">
        <color rgb="FF1ABC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8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8EA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FF6600"/>
      <rgbColor rgb="FF5D6D7E"/>
      <rgbColor rgb="FF969696"/>
      <rgbColor rgb="FF0D1F3C"/>
      <rgbColor rgb="FF339966"/>
      <rgbColor rgb="FF0D0D0D"/>
      <rgbColor rgb="FF333300"/>
      <rgbColor rgb="FF993300"/>
      <rgbColor rgb="FF993366"/>
      <rgbColor rgb="FF1B4F7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2</v>
      </c>
      <c r="B2" s="3"/>
      <c r="C2" s="4" t="s">
        <v>3</v>
      </c>
      <c r="D2" s="4"/>
      <c r="E2" s="4"/>
      <c r="F2" s="3" t="s">
        <v>4</v>
      </c>
      <c r="G2" s="3"/>
      <c r="H2" s="4" t="s">
        <v>5</v>
      </c>
      <c r="I2" s="4"/>
      <c r="J2" s="3" t="s">
        <v>6</v>
      </c>
    </row>
    <row r="3" customFormat="false" ht="21.75" hidden="false" customHeight="true" outlineLevel="0" collapsed="false">
      <c r="A3" s="5" t="s">
        <v>7</v>
      </c>
      <c r="B3" s="5"/>
      <c r="C3" s="6" t="s">
        <v>8</v>
      </c>
      <c r="D3" s="6"/>
      <c r="E3" s="6"/>
      <c r="F3" s="5" t="s">
        <v>9</v>
      </c>
      <c r="G3" s="5"/>
      <c r="H3" s="6" t="s">
        <v>10</v>
      </c>
      <c r="I3" s="6"/>
      <c r="J3" s="5" t="s">
        <v>11</v>
      </c>
    </row>
    <row r="4" customFormat="false" ht="21.75" hidden="false" customHeight="true" outlineLevel="0" collapsed="false">
      <c r="A4" s="7" t="s">
        <v>12</v>
      </c>
      <c r="B4" s="7"/>
      <c r="C4" s="7"/>
      <c r="D4" s="7" t="s">
        <v>13</v>
      </c>
      <c r="E4" s="7"/>
      <c r="F4" s="7"/>
      <c r="G4" s="7" t="s">
        <v>14</v>
      </c>
      <c r="H4" s="7"/>
      <c r="I4" s="7" t="s">
        <v>15</v>
      </c>
      <c r="J4" s="7"/>
    </row>
    <row r="5" customFormat="false" ht="3.75" hidden="false" customHeight="tru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30" hidden="false" customHeight="true" outlineLevel="0" collapsed="false">
      <c r="A6" s="9" t="s">
        <v>16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21</v>
      </c>
      <c r="G6" s="9" t="s">
        <v>22</v>
      </c>
      <c r="H6" s="9" t="s">
        <v>23</v>
      </c>
      <c r="I6" s="9" t="s">
        <v>24</v>
      </c>
      <c r="J6" s="9" t="s">
        <v>25</v>
      </c>
    </row>
    <row r="7" customFormat="false" ht="19.5" hidden="false" customHeight="true" outlineLevel="0" collapsed="false">
      <c r="A7" s="10"/>
      <c r="B7" s="11" t="s">
        <v>26</v>
      </c>
      <c r="C7" s="12" t="s">
        <v>27</v>
      </c>
      <c r="D7" s="12"/>
      <c r="E7" s="12"/>
      <c r="F7" s="12"/>
      <c r="G7" s="12"/>
      <c r="H7" s="12"/>
      <c r="I7" s="12"/>
      <c r="J7" s="13" t="s">
        <v>28</v>
      </c>
    </row>
    <row r="8" customFormat="false" ht="18" hidden="false" customHeight="true" outlineLevel="0" collapsed="false">
      <c r="A8" s="14" t="n">
        <v>1</v>
      </c>
      <c r="B8" s="15" t="s">
        <v>26</v>
      </c>
      <c r="C8" s="16" t="s">
        <v>27</v>
      </c>
      <c r="D8" s="17" t="s">
        <v>29</v>
      </c>
      <c r="E8" s="18" t="s">
        <v>30</v>
      </c>
      <c r="F8" s="19" t="n">
        <v>1</v>
      </c>
      <c r="G8" s="20" t="s">
        <v>31</v>
      </c>
      <c r="H8" s="20" t="n">
        <v>1</v>
      </c>
      <c r="I8" s="21" t="n">
        <f aca="false">F8*H8</f>
        <v>1</v>
      </c>
      <c r="J8" s="22" t="s">
        <v>32</v>
      </c>
    </row>
    <row r="9" customFormat="false" ht="18" hidden="false" customHeight="true" outlineLevel="0" collapsed="false">
      <c r="A9" s="23" t="n">
        <v>2</v>
      </c>
      <c r="B9" s="24" t="s">
        <v>26</v>
      </c>
      <c r="C9" s="25" t="s">
        <v>27</v>
      </c>
      <c r="D9" s="26" t="s">
        <v>33</v>
      </c>
      <c r="E9" s="27" t="s">
        <v>34</v>
      </c>
      <c r="F9" s="28" t="n">
        <v>1</v>
      </c>
      <c r="G9" s="29" t="s">
        <v>35</v>
      </c>
      <c r="H9" s="29" t="n">
        <v>1</v>
      </c>
      <c r="I9" s="30" t="n">
        <f aca="false">F9*H9</f>
        <v>1</v>
      </c>
      <c r="J9" s="31" t="s">
        <v>36</v>
      </c>
    </row>
    <row r="10" customFormat="false" ht="19.5" hidden="false" customHeight="true" outlineLevel="0" collapsed="false">
      <c r="A10" s="32"/>
      <c r="B10" s="33"/>
      <c r="C10" s="34" t="s">
        <v>37</v>
      </c>
      <c r="D10" s="34"/>
      <c r="E10" s="34"/>
      <c r="F10" s="34"/>
      <c r="G10" s="34"/>
      <c r="H10" s="34"/>
      <c r="I10" s="35" t="n">
        <f aca="false">SUM(I8:I9)</f>
        <v>2</v>
      </c>
      <c r="J10" s="36" t="s">
        <v>38</v>
      </c>
    </row>
    <row r="11" customFormat="false" ht="19.5" hidden="false" customHeight="true" outlineLevel="0" collapsed="false">
      <c r="A11" s="10"/>
      <c r="B11" s="11" t="s">
        <v>39</v>
      </c>
      <c r="C11" s="12" t="s">
        <v>40</v>
      </c>
      <c r="D11" s="12"/>
      <c r="E11" s="12"/>
      <c r="F11" s="12"/>
      <c r="G11" s="12"/>
      <c r="H11" s="12"/>
      <c r="I11" s="12"/>
      <c r="J11" s="13" t="s">
        <v>28</v>
      </c>
    </row>
    <row r="12" customFormat="false" ht="18" hidden="false" customHeight="true" outlineLevel="0" collapsed="false">
      <c r="A12" s="14" t="n">
        <v>1</v>
      </c>
      <c r="B12" s="15" t="s">
        <v>39</v>
      </c>
      <c r="C12" s="16" t="s">
        <v>40</v>
      </c>
      <c r="D12" s="17" t="s">
        <v>41</v>
      </c>
      <c r="E12" s="18" t="s">
        <v>42</v>
      </c>
      <c r="F12" s="19" t="n">
        <v>4</v>
      </c>
      <c r="G12" s="20" t="s">
        <v>31</v>
      </c>
      <c r="H12" s="20" t="n">
        <v>1</v>
      </c>
      <c r="I12" s="21" t="n">
        <f aca="false">F12*H12</f>
        <v>4</v>
      </c>
      <c r="J12" s="22" t="s">
        <v>43</v>
      </c>
    </row>
    <row r="13" customFormat="false" ht="18" hidden="false" customHeight="true" outlineLevel="0" collapsed="false">
      <c r="A13" s="23" t="n">
        <v>2</v>
      </c>
      <c r="B13" s="24" t="s">
        <v>39</v>
      </c>
      <c r="C13" s="25" t="s">
        <v>40</v>
      </c>
      <c r="D13" s="26" t="s">
        <v>44</v>
      </c>
      <c r="E13" s="27" t="s">
        <v>45</v>
      </c>
      <c r="F13" s="28" t="n">
        <v>1</v>
      </c>
      <c r="G13" s="29" t="s">
        <v>31</v>
      </c>
      <c r="H13" s="29" t="n">
        <v>1</v>
      </c>
      <c r="I13" s="30" t="n">
        <f aca="false">F13*H13</f>
        <v>1</v>
      </c>
      <c r="J13" s="31" t="s">
        <v>36</v>
      </c>
    </row>
    <row r="14" customFormat="false" ht="19.5" hidden="false" customHeight="true" outlineLevel="0" collapsed="false">
      <c r="A14" s="32"/>
      <c r="B14" s="33"/>
      <c r="C14" s="34" t="s">
        <v>46</v>
      </c>
      <c r="D14" s="34"/>
      <c r="E14" s="34"/>
      <c r="F14" s="34"/>
      <c r="G14" s="34"/>
      <c r="H14" s="34"/>
      <c r="I14" s="35" t="n">
        <f aca="false">SUM(I12:I13)</f>
        <v>5</v>
      </c>
      <c r="J14" s="36" t="s">
        <v>38</v>
      </c>
    </row>
    <row r="15" customFormat="false" ht="19.5" hidden="false" customHeight="true" outlineLevel="0" collapsed="false">
      <c r="A15" s="10"/>
      <c r="B15" s="11" t="s">
        <v>47</v>
      </c>
      <c r="C15" s="12" t="s">
        <v>48</v>
      </c>
      <c r="D15" s="12"/>
      <c r="E15" s="12"/>
      <c r="F15" s="12"/>
      <c r="G15" s="12"/>
      <c r="H15" s="12"/>
      <c r="I15" s="12"/>
      <c r="J15" s="13" t="s">
        <v>28</v>
      </c>
    </row>
    <row r="16" customFormat="false" ht="18" hidden="false" customHeight="true" outlineLevel="0" collapsed="false">
      <c r="A16" s="14" t="n">
        <v>1</v>
      </c>
      <c r="B16" s="15" t="s">
        <v>47</v>
      </c>
      <c r="C16" s="16" t="s">
        <v>48</v>
      </c>
      <c r="D16" s="17" t="s">
        <v>49</v>
      </c>
      <c r="E16" s="18" t="s">
        <v>50</v>
      </c>
      <c r="F16" s="19" t="n">
        <v>1</v>
      </c>
      <c r="G16" s="20" t="s">
        <v>31</v>
      </c>
      <c r="H16" s="20" t="n">
        <v>1</v>
      </c>
      <c r="I16" s="21" t="n">
        <f aca="false">F16*H16</f>
        <v>1</v>
      </c>
      <c r="J16" s="22" t="s">
        <v>36</v>
      </c>
    </row>
    <row r="17" customFormat="false" ht="18" hidden="false" customHeight="true" outlineLevel="0" collapsed="false">
      <c r="A17" s="23" t="n">
        <v>2</v>
      </c>
      <c r="B17" s="24" t="s">
        <v>47</v>
      </c>
      <c r="C17" s="25" t="s">
        <v>48</v>
      </c>
      <c r="D17" s="26" t="s">
        <v>51</v>
      </c>
      <c r="E17" s="27" t="s">
        <v>52</v>
      </c>
      <c r="F17" s="28" t="n">
        <v>1</v>
      </c>
      <c r="G17" s="29" t="s">
        <v>31</v>
      </c>
      <c r="H17" s="29" t="n">
        <v>1</v>
      </c>
      <c r="I17" s="30" t="n">
        <f aca="false">F17*H17</f>
        <v>1</v>
      </c>
      <c r="J17" s="31" t="s">
        <v>53</v>
      </c>
    </row>
    <row r="18" customFormat="false" ht="19.5" hidden="false" customHeight="true" outlineLevel="0" collapsed="false">
      <c r="A18" s="32"/>
      <c r="B18" s="33"/>
      <c r="C18" s="34" t="s">
        <v>54</v>
      </c>
      <c r="D18" s="34"/>
      <c r="E18" s="34"/>
      <c r="F18" s="34"/>
      <c r="G18" s="34"/>
      <c r="H18" s="34"/>
      <c r="I18" s="35" t="n">
        <f aca="false">SUM(I16:I17)</f>
        <v>2</v>
      </c>
      <c r="J18" s="36" t="s">
        <v>38</v>
      </c>
    </row>
    <row r="19" customFormat="false" ht="7.5" hidden="false" customHeight="true" outlineLevel="0" collapsed="false"/>
    <row r="20" customFormat="false" ht="27.75" hidden="false" customHeight="true" outlineLevel="0" collapsed="false">
      <c r="A20" s="37" t="s">
        <v>55</v>
      </c>
      <c r="B20" s="37"/>
      <c r="C20" s="37"/>
      <c r="D20" s="37"/>
      <c r="E20" s="37"/>
      <c r="F20" s="37"/>
      <c r="G20" s="37"/>
      <c r="H20" s="37"/>
      <c r="I20" s="38" t="n">
        <f aca="false">SUM(I8,I9,I12,I13,I16,I17)</f>
        <v>9</v>
      </c>
      <c r="J20" s="39" t="s">
        <v>56</v>
      </c>
    </row>
    <row r="22" customFormat="false" ht="18" hidden="false" customHeight="true" outlineLevel="0" collapsed="false">
      <c r="A22" s="40" t="s">
        <v>57</v>
      </c>
      <c r="B22" s="41" t="s">
        <v>58</v>
      </c>
      <c r="C22" s="41"/>
      <c r="D22" s="41"/>
      <c r="E22" s="41"/>
      <c r="F22" s="41"/>
    </row>
    <row r="23" customFormat="false" ht="15" hidden="false" customHeight="false" outlineLevel="0" collapsed="false">
      <c r="B23" s="41" t="s">
        <v>59</v>
      </c>
      <c r="C23" s="41"/>
      <c r="D23" s="41"/>
      <c r="E23" s="41"/>
      <c r="F23" s="41"/>
    </row>
    <row r="24" customFormat="false" ht="15" hidden="false" customHeight="false" outlineLevel="0" collapsed="false">
      <c r="B24" s="41" t="s">
        <v>60</v>
      </c>
      <c r="C24" s="41"/>
      <c r="D24" s="41"/>
      <c r="E24" s="41"/>
      <c r="F24" s="41"/>
    </row>
    <row r="25" customFormat="false" ht="15" hidden="false" customHeight="false" outlineLevel="0" collapsed="false">
      <c r="B25" s="41" t="s">
        <v>61</v>
      </c>
      <c r="C25" s="41"/>
      <c r="D25" s="41"/>
      <c r="E25" s="41"/>
      <c r="F25" s="41"/>
      <c r="G25" s="41"/>
      <c r="H25" s="41"/>
    </row>
    <row r="27" customFormat="false" ht="24" hidden="false" customHeight="true" outlineLevel="0" collapsed="false">
      <c r="A27" s="42" t="s">
        <v>62</v>
      </c>
      <c r="B27" s="42"/>
      <c r="C27" s="42"/>
      <c r="D27" s="42"/>
      <c r="E27" s="42"/>
      <c r="F27" s="42"/>
      <c r="G27" s="42"/>
      <c r="H27" s="42"/>
      <c r="I27" s="42"/>
      <c r="J27" s="42"/>
    </row>
  </sheetData>
  <mergeCells count="26">
    <mergeCell ref="A1:C1"/>
    <mergeCell ref="D1:J1"/>
    <mergeCell ref="A2:B2"/>
    <mergeCell ref="C2:E2"/>
    <mergeCell ref="F2:G2"/>
    <mergeCell ref="H2:I2"/>
    <mergeCell ref="A3:B3"/>
    <mergeCell ref="C3:E3"/>
    <mergeCell ref="F3:G3"/>
    <mergeCell ref="H3:I3"/>
    <mergeCell ref="A4:C4"/>
    <mergeCell ref="D4:F4"/>
    <mergeCell ref="G4:H4"/>
    <mergeCell ref="I4:J4"/>
    <mergeCell ref="C7:I7"/>
    <mergeCell ref="C10:H10"/>
    <mergeCell ref="C11:I11"/>
    <mergeCell ref="C14:H14"/>
    <mergeCell ref="C15:I15"/>
    <mergeCell ref="C18:H18"/>
    <mergeCell ref="A20:H20"/>
    <mergeCell ref="B22:F22"/>
    <mergeCell ref="B23:F23"/>
    <mergeCell ref="B24:F24"/>
    <mergeCell ref="B25:H25"/>
    <mergeCell ref="A27:J27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2026-03-18T04:38:23Z</dcterms:created>
  <dc:creator>openpyxl</dc:creator>
  <dc:description/>
  <dc:language>en-US</dc:language>
  <cp:lastModifiedBy/>
  <dcterms:modified xsi:type="dcterms:W3CDTF">2026-03-18T04:38:23Z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